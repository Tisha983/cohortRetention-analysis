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78DEC37F69CF25/ドキュメント/"/>
    </mc:Choice>
  </mc:AlternateContent>
  <xr:revisionPtr revIDLastSave="59" documentId="8_{8F94FBB9-B3C3-4B5B-89FF-05BAC0683967}" xr6:coauthVersionLast="47" xr6:coauthVersionMax="47" xr10:uidLastSave="{BD209528-058A-409A-B9AB-B94C5B95EEE3}"/>
  <bookViews>
    <workbookView xWindow="-108" yWindow="-108" windowWidth="23256" windowHeight="13896" activeTab="1" xr2:uid="{61D30B1F-6C55-4DF1-98AC-78C784E1B860}"/>
  </bookViews>
  <sheets>
    <sheet name="RawData" sheetId="1" r:id="rId1"/>
    <sheet name="Cohort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B13" i="2" s="1"/>
  <c r="C5" i="2"/>
  <c r="D5" i="2"/>
  <c r="E5" i="2"/>
  <c r="F5" i="2"/>
  <c r="F13" i="2" s="1"/>
  <c r="G5" i="2"/>
  <c r="G13" i="2" s="1"/>
  <c r="B6" i="2"/>
  <c r="B14" i="2" s="1"/>
  <c r="C6" i="2"/>
  <c r="D6" i="2"/>
  <c r="D14" i="2" s="1"/>
  <c r="E6" i="2"/>
  <c r="E14" i="2" s="1"/>
  <c r="F6" i="2"/>
  <c r="G6" i="2"/>
  <c r="G14" i="2" s="1"/>
  <c r="B7" i="2"/>
  <c r="B15" i="2" s="1"/>
  <c r="C7" i="2"/>
  <c r="D7" i="2"/>
  <c r="E7" i="2"/>
  <c r="F7" i="2"/>
  <c r="F15" i="2" s="1"/>
  <c r="G7" i="2"/>
  <c r="B8" i="2"/>
  <c r="B16" i="2" s="1"/>
  <c r="C8" i="2"/>
  <c r="C16" i="2" s="1"/>
  <c r="D8" i="2"/>
  <c r="E8" i="2"/>
  <c r="E16" i="2" s="1"/>
  <c r="F8" i="2"/>
  <c r="F16" i="2" s="1"/>
  <c r="G8" i="2"/>
  <c r="G16" i="2" s="1"/>
  <c r="C4" i="2"/>
  <c r="D4" i="2"/>
  <c r="D12" i="2" s="1"/>
  <c r="E4" i="2"/>
  <c r="E12" i="2" s="1"/>
  <c r="F4" i="2"/>
  <c r="G4" i="2"/>
  <c r="G12" i="2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" i="1"/>
  <c r="B4" i="2"/>
  <c r="B12" i="2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" i="1"/>
  <c r="D3" i="1"/>
  <c r="E13" i="2" l="1"/>
  <c r="C14" i="2"/>
  <c r="F14" i="2"/>
  <c r="C15" i="2"/>
  <c r="D15" i="2"/>
  <c r="E15" i="2"/>
  <c r="G15" i="2"/>
  <c r="D16" i="2"/>
  <c r="C12" i="2"/>
  <c r="F12" i="2"/>
  <c r="C13" i="2"/>
  <c r="D13" i="2"/>
</calcChain>
</file>

<file path=xl/sharedStrings.xml><?xml version="1.0" encoding="utf-8"?>
<sst xmlns="http://schemas.openxmlformats.org/spreadsheetml/2006/main" count="42" uniqueCount="27">
  <si>
    <t>CustomerID</t>
  </si>
  <si>
    <t>FirstOrderDate</t>
  </si>
  <si>
    <t>OrderDate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</si>
  <si>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</si>
  <si>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</si>
  <si>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</si>
  <si>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</si>
  <si>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</si>
  <si>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</si>
  <si>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</si>
  <si>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</si>
  <si>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</si>
  <si>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</si>
  <si>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</si>
  <si>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</si>
  <si>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</si>
  <si>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</si>
  <si>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Cohort month</t>
  </si>
  <si>
    <t>Cohort No.</t>
  </si>
  <si>
    <t>2023-01</t>
  </si>
  <si>
    <t>2023-02</t>
  </si>
  <si>
    <t>2023-03</t>
  </si>
  <si>
    <t>2023-04</t>
  </si>
  <si>
    <t>2023-05</t>
  </si>
  <si>
    <t>cohort</t>
  </si>
  <si>
    <t>Cohort</t>
  </si>
  <si>
    <t>CUSTOMER COHORT RETENTION ANALYSIS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</si>
</sst>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2" borderId="2" xfId="0" applyFill="1" applyBorder="1"/>
    <xf numFmtId="0" fontId="4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6985FB4-2D7C-4AA3-97A0-24FDEFC58FD6}">
  <we:reference id="wa200009404" version="1.0.0.8" store="en-US" storeType="OMEX"/>
  <we:alternateReferences>
    <we:reference id="wa200009404" version="1.0.0.8" store="en-US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FB45D-45E4-4A8E-9D73-E1DF93FF0032}">
  <dimension ref="A1:E25"/>
  <sheetViews>
    <sheetView workbookViewId="0">
      <selection activeCell="G16" sqref="G16"/>
    </sheetView>
  </sheetViews>
  <sheetFormatPr defaultRowHeight="14.4" x14ac:dyDescent="0.3"/>
  <cols>
    <col min="1" max="1" width="11" customWidth="1"/>
    <col min="2" max="2" width="14.44140625" customWidth="1"/>
    <col min="3" max="3" width="16.44140625" customWidth="1"/>
    <col min="4" max="4" width="13" customWidth="1"/>
    <col min="5" max="5" width="14.1093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17</v>
      </c>
      <c r="E1" s="2" t="s">
        <v>18</v>
      </c>
    </row>
    <row r="2" spans="1:5" x14ac:dyDescent="0.3">
      <c r="A2" s="1" t="s">
        <v>3</v>
      </c>
      <c r="B2" s="3">
        <v>44927</v>
      </c>
      <c r="C2" s="3">
        <v>44927</v>
      </c>
      <c r="D2" t="str">
        <f>TEXT(B2,  "YYYY-MM")</f>
        <v>2023-01</v>
      </c>
      <c r="E2">
        <f>DATEDIF(B2,C2,"M")</f>
        <v>0</v>
      </c>
    </row>
    <row r="3" spans="1:5" x14ac:dyDescent="0.3">
      <c r="A3" s="1" t="s">
        <v>3</v>
      </c>
      <c r="B3" s="3">
        <v>44927</v>
      </c>
      <c r="C3" s="3">
        <v>44972</v>
      </c>
      <c r="D3" t="str">
        <f>TEXT(B3, "YYYY-MM")</f>
        <v>2023-01</v>
      </c>
      <c r="E3">
        <f t="shared" ref="E3:E25" si="0">DATEDIF(B3,C3,"M")</f>
        <v>1</v>
      </c>
    </row>
    <row r="4" spans="1:5" x14ac:dyDescent="0.3">
      <c r="A4" s="1" t="s">
        <v>3</v>
      </c>
      <c r="B4" s="3">
        <v>44927</v>
      </c>
      <c r="C4" s="3">
        <v>45026</v>
      </c>
      <c r="D4" t="str">
        <f t="shared" ref="D4:D25" si="1">TEXT(B4, "YYYY-MM")</f>
        <v>2023-01</v>
      </c>
      <c r="E4">
        <f t="shared" si="0"/>
        <v>3</v>
      </c>
    </row>
    <row r="5" spans="1:5" x14ac:dyDescent="0.3">
      <c r="A5" s="1" t="s">
        <v>4</v>
      </c>
      <c r="B5" s="3">
        <v>44927</v>
      </c>
      <c r="C5" s="3">
        <v>44931</v>
      </c>
      <c r="D5" t="str">
        <f t="shared" si="1"/>
        <v>2023-01</v>
      </c>
      <c r="E5">
        <f t="shared" si="0"/>
        <v>0</v>
      </c>
    </row>
    <row r="6" spans="1:5" x14ac:dyDescent="0.3">
      <c r="A6" s="1" t="s">
        <v>4</v>
      </c>
      <c r="B6" s="3">
        <v>44927</v>
      </c>
      <c r="C6" s="3">
        <v>45005</v>
      </c>
      <c r="D6" t="str">
        <f t="shared" si="1"/>
        <v>2023-01</v>
      </c>
      <c r="E6">
        <f t="shared" si="0"/>
        <v>2</v>
      </c>
    </row>
    <row r="7" spans="1:5" x14ac:dyDescent="0.3">
      <c r="A7" s="1" t="s">
        <v>5</v>
      </c>
      <c r="B7" s="3">
        <v>44958</v>
      </c>
      <c r="C7" s="3">
        <v>44960</v>
      </c>
      <c r="D7" t="str">
        <f t="shared" si="1"/>
        <v>2023-02</v>
      </c>
      <c r="E7">
        <f t="shared" si="0"/>
        <v>0</v>
      </c>
    </row>
    <row r="8" spans="1:5" x14ac:dyDescent="0.3">
      <c r="A8" s="1" t="s">
        <v>5</v>
      </c>
      <c r="B8" s="3">
        <v>44958</v>
      </c>
      <c r="C8" s="3">
        <v>45010</v>
      </c>
      <c r="D8" t="str">
        <f t="shared" si="1"/>
        <v>2023-02</v>
      </c>
      <c r="E8">
        <f t="shared" si="0"/>
        <v>1</v>
      </c>
    </row>
    <row r="9" spans="1:5" x14ac:dyDescent="0.3">
      <c r="A9" s="1" t="s">
        <v>5</v>
      </c>
      <c r="B9" s="3">
        <v>44958</v>
      </c>
      <c r="C9" s="3">
        <v>45064</v>
      </c>
      <c r="D9" t="str">
        <f t="shared" si="1"/>
        <v>2023-02</v>
      </c>
      <c r="E9">
        <f t="shared" si="0"/>
        <v>3</v>
      </c>
    </row>
    <row r="10" spans="1:5" x14ac:dyDescent="0.3">
      <c r="A10" s="1" t="s">
        <v>6</v>
      </c>
      <c r="B10" s="3">
        <v>44958</v>
      </c>
      <c r="C10" s="3">
        <v>44964</v>
      </c>
      <c r="D10" t="str">
        <f t="shared" si="1"/>
        <v>2023-02</v>
      </c>
      <c r="E10">
        <f t="shared" si="0"/>
        <v>0</v>
      </c>
    </row>
    <row r="11" spans="1:5" x14ac:dyDescent="0.3">
      <c r="A11" s="1" t="s">
        <v>7</v>
      </c>
      <c r="B11" s="3">
        <v>44958</v>
      </c>
      <c r="C11" s="3">
        <v>44971</v>
      </c>
      <c r="D11" t="str">
        <f t="shared" si="1"/>
        <v>2023-02</v>
      </c>
      <c r="E11">
        <f t="shared" si="0"/>
        <v>0</v>
      </c>
    </row>
    <row r="12" spans="1:5" x14ac:dyDescent="0.3">
      <c r="A12" s="1" t="s">
        <v>7</v>
      </c>
      <c r="B12" s="3">
        <v>44958</v>
      </c>
      <c r="C12" s="3">
        <v>45046</v>
      </c>
      <c r="D12" t="str">
        <f t="shared" si="1"/>
        <v>2023-02</v>
      </c>
      <c r="E12">
        <f t="shared" si="0"/>
        <v>2</v>
      </c>
    </row>
    <row r="13" spans="1:5" x14ac:dyDescent="0.3">
      <c r="A13" s="1" t="s">
        <v>8</v>
      </c>
      <c r="B13" s="3">
        <v>44986</v>
      </c>
      <c r="C13" s="3">
        <v>44987</v>
      </c>
      <c r="D13" t="str">
        <f t="shared" si="1"/>
        <v>2023-03</v>
      </c>
      <c r="E13">
        <f t="shared" si="0"/>
        <v>0</v>
      </c>
    </row>
    <row r="14" spans="1:5" x14ac:dyDescent="0.3">
      <c r="A14" s="1" t="s">
        <v>8</v>
      </c>
      <c r="B14" s="3">
        <v>44986</v>
      </c>
      <c r="C14" s="3">
        <v>45035</v>
      </c>
      <c r="D14" t="str">
        <f t="shared" si="1"/>
        <v>2023-03</v>
      </c>
      <c r="E14">
        <f t="shared" si="0"/>
        <v>1</v>
      </c>
    </row>
    <row r="15" spans="1:5" x14ac:dyDescent="0.3">
      <c r="A15" s="1" t="s">
        <v>9</v>
      </c>
      <c r="B15" s="3">
        <v>44986</v>
      </c>
      <c r="C15" s="3">
        <v>44993</v>
      </c>
      <c r="D15" t="str">
        <f t="shared" si="1"/>
        <v>2023-03</v>
      </c>
      <c r="E15">
        <f t="shared" si="0"/>
        <v>0</v>
      </c>
    </row>
    <row r="16" spans="1:5" x14ac:dyDescent="0.3">
      <c r="A16" s="1" t="s">
        <v>10</v>
      </c>
      <c r="B16" s="3">
        <v>44986</v>
      </c>
      <c r="C16" s="3">
        <v>45007</v>
      </c>
      <c r="D16" t="str">
        <f t="shared" si="1"/>
        <v>2023-03</v>
      </c>
      <c r="E16">
        <f t="shared" si="0"/>
        <v>0</v>
      </c>
    </row>
    <row r="17" spans="1:5" x14ac:dyDescent="0.3">
      <c r="A17" s="1" t="s">
        <v>10</v>
      </c>
      <c r="B17" s="3">
        <v>44986</v>
      </c>
      <c r="C17" s="3">
        <v>45057</v>
      </c>
      <c r="D17" t="str">
        <f t="shared" si="1"/>
        <v>2023-03</v>
      </c>
      <c r="E17">
        <f t="shared" si="0"/>
        <v>2</v>
      </c>
    </row>
    <row r="18" spans="1:5" x14ac:dyDescent="0.3">
      <c r="A18" s="1" t="s">
        <v>11</v>
      </c>
      <c r="B18" s="3">
        <v>45017</v>
      </c>
      <c r="C18" s="3">
        <v>45021</v>
      </c>
      <c r="D18" t="str">
        <f t="shared" si="1"/>
        <v>2023-04</v>
      </c>
      <c r="E18">
        <f t="shared" si="0"/>
        <v>0</v>
      </c>
    </row>
    <row r="19" spans="1:5" x14ac:dyDescent="0.3">
      <c r="A19" s="1" t="s">
        <v>11</v>
      </c>
      <c r="B19" s="3">
        <v>45017</v>
      </c>
      <c r="C19" s="3">
        <v>45074</v>
      </c>
      <c r="D19" t="str">
        <f t="shared" si="1"/>
        <v>2023-04</v>
      </c>
      <c r="E19">
        <f t="shared" si="0"/>
        <v>1</v>
      </c>
    </row>
    <row r="20" spans="1:5" x14ac:dyDescent="0.3">
      <c r="A20" s="1" t="s">
        <v>12</v>
      </c>
      <c r="B20" s="3">
        <v>45017</v>
      </c>
      <c r="C20" s="3">
        <v>45026</v>
      </c>
      <c r="D20" t="str">
        <f t="shared" si="1"/>
        <v>2023-04</v>
      </c>
      <c r="E20">
        <f t="shared" si="0"/>
        <v>0</v>
      </c>
    </row>
    <row r="21" spans="1:5" x14ac:dyDescent="0.3">
      <c r="A21" s="1" t="s">
        <v>13</v>
      </c>
      <c r="B21" s="3">
        <v>45017</v>
      </c>
      <c r="C21" s="3">
        <v>45033</v>
      </c>
      <c r="D21" t="str">
        <f t="shared" si="1"/>
        <v>2023-04</v>
      </c>
      <c r="E21">
        <f t="shared" si="0"/>
        <v>0</v>
      </c>
    </row>
    <row r="22" spans="1:5" x14ac:dyDescent="0.3">
      <c r="A22" s="1" t="s">
        <v>14</v>
      </c>
      <c r="B22" s="3">
        <v>45047</v>
      </c>
      <c r="C22" s="3">
        <v>45049</v>
      </c>
      <c r="D22" t="str">
        <f t="shared" si="1"/>
        <v>2023-05</v>
      </c>
      <c r="E22">
        <f t="shared" si="0"/>
        <v>0</v>
      </c>
    </row>
    <row r="23" spans="1:5" x14ac:dyDescent="0.3">
      <c r="A23" s="1" t="s">
        <v>14</v>
      </c>
      <c r="B23" s="3">
        <v>45047</v>
      </c>
      <c r="C23" s="3">
        <v>45102</v>
      </c>
      <c r="D23" t="str">
        <f t="shared" si="1"/>
        <v>2023-05</v>
      </c>
      <c r="E23">
        <f t="shared" si="0"/>
        <v>1</v>
      </c>
    </row>
    <row r="24" spans="1:5" x14ac:dyDescent="0.3">
      <c r="A24" s="1" t="s">
        <v>15</v>
      </c>
      <c r="B24" s="3">
        <v>45047</v>
      </c>
      <c r="C24" s="3">
        <v>45055</v>
      </c>
      <c r="D24" t="str">
        <f t="shared" si="1"/>
        <v>2023-05</v>
      </c>
      <c r="E24">
        <f t="shared" si="0"/>
        <v>0</v>
      </c>
    </row>
    <row r="25" spans="1:5" x14ac:dyDescent="0.3">
      <c r="A25" s="1" t="s">
        <v>16</v>
      </c>
      <c r="B25" s="3">
        <v>45047</v>
      </c>
      <c r="C25" s="3">
        <v>45067</v>
      </c>
      <c r="D25" t="str">
        <f t="shared" si="1"/>
        <v>2023-05</v>
      </c>
      <c r="E25">
        <f t="shared" si="0"/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848A0-5BB3-44A8-84D1-9B61C37140F5}">
  <dimension ref="A1:O16"/>
  <sheetViews>
    <sheetView tabSelected="1" workbookViewId="0">
      <selection activeCell="Q16" sqref="Q16"/>
    </sheetView>
  </sheetViews>
  <sheetFormatPr defaultRowHeight="14.4" x14ac:dyDescent="0.3"/>
  <sheetData>
    <row r="1" spans="1:15" ht="18" x14ac:dyDescent="0.35">
      <c r="A1" s="10"/>
      <c r="B1" s="10"/>
      <c r="C1" s="10"/>
      <c r="D1" s="10"/>
      <c r="E1" s="10"/>
      <c r="F1" s="10"/>
      <c r="G1" s="11" t="s">
        <v>26</v>
      </c>
      <c r="H1" s="10"/>
      <c r="I1" s="10"/>
      <c r="J1" s="10"/>
      <c r="K1" s="10"/>
      <c r="L1" s="10"/>
      <c r="M1" s="10"/>
      <c r="N1" s="10"/>
      <c r="O1" s="10"/>
    </row>
    <row r="2" spans="1:15" ht="21" x14ac:dyDescent="0.4">
      <c r="G2" s="6"/>
    </row>
    <row r="3" spans="1:15" x14ac:dyDescent="0.3">
      <c r="A3" s="7" t="s">
        <v>24</v>
      </c>
      <c r="B3" s="7">
        <v>0</v>
      </c>
      <c r="C3" s="7">
        <v>1</v>
      </c>
      <c r="D3" s="7">
        <v>2</v>
      </c>
      <c r="E3" s="7">
        <v>3</v>
      </c>
      <c r="F3" s="7">
        <v>4</v>
      </c>
      <c r="G3" s="7">
        <v>5</v>
      </c>
    </row>
    <row r="4" spans="1:15" x14ac:dyDescent="0.3">
      <c r="A4" s="8" t="s">
        <v>19</v>
      </c>
      <c r="B4" s="8">
        <f>COUNTIFS(RawData!$D:$D,$A4,RawData!$E:$E,B$3)</f>
        <v>2</v>
      </c>
      <c r="C4" s="8">
        <f>COUNTIFS(RawData!$D:$D,$A4,RawData!$E:$E,C$3)</f>
        <v>1</v>
      </c>
      <c r="D4" s="8">
        <f>COUNTIFS(RawData!$D:$D,$A4,RawData!$E:$E,D$3)</f>
        <v>1</v>
      </c>
      <c r="E4" s="8">
        <f>COUNTIFS(RawData!$D:$D,$A4,RawData!$E:$E,E$3)</f>
        <v>1</v>
      </c>
      <c r="F4" s="8">
        <f>COUNTIFS(RawData!$D:$D,$A4,RawData!$E:$E,F$3)</f>
        <v>0</v>
      </c>
      <c r="G4" s="8">
        <f>COUNTIFS(RawData!$D:$D,$A4,RawData!$E:$E,G$3)</f>
        <v>0</v>
      </c>
    </row>
    <row r="5" spans="1:15" x14ac:dyDescent="0.3">
      <c r="A5" s="8" t="s">
        <v>20</v>
      </c>
      <c r="B5" s="8">
        <f>COUNTIFS(RawData!$D:$D,$A5,RawData!$E:$E,B$3)</f>
        <v>3</v>
      </c>
      <c r="C5" s="8">
        <f>COUNTIFS(RawData!$D:$D,$A5,RawData!$E:$E,C$3)</f>
        <v>1</v>
      </c>
      <c r="D5" s="8">
        <f>COUNTIFS(RawData!$D:$D,$A5,RawData!$E:$E,D$3)</f>
        <v>1</v>
      </c>
      <c r="E5" s="8">
        <f>COUNTIFS(RawData!$D:$D,$A5,RawData!$E:$E,E$3)</f>
        <v>1</v>
      </c>
      <c r="F5" s="8">
        <f>COUNTIFS(RawData!$D:$D,$A5,RawData!$E:$E,F$3)</f>
        <v>0</v>
      </c>
      <c r="G5" s="8">
        <f>COUNTIFS(RawData!$D:$D,$A5,RawData!$E:$E,G$3)</f>
        <v>0</v>
      </c>
    </row>
    <row r="6" spans="1:15" x14ac:dyDescent="0.3">
      <c r="A6" s="8" t="s">
        <v>21</v>
      </c>
      <c r="B6" s="8">
        <f>COUNTIFS(RawData!$D:$D,$A6,RawData!$E:$E,B$3)</f>
        <v>3</v>
      </c>
      <c r="C6" s="8">
        <f>COUNTIFS(RawData!$D:$D,$A6,RawData!$E:$E,C$3)</f>
        <v>1</v>
      </c>
      <c r="D6" s="8">
        <f>COUNTIFS(RawData!$D:$D,$A6,RawData!$E:$E,D$3)</f>
        <v>1</v>
      </c>
      <c r="E6" s="8">
        <f>COUNTIFS(RawData!$D:$D,$A6,RawData!$E:$E,E$3)</f>
        <v>0</v>
      </c>
      <c r="F6" s="8">
        <f>COUNTIFS(RawData!$D:$D,$A6,RawData!$E:$E,F$3)</f>
        <v>0</v>
      </c>
      <c r="G6" s="8">
        <f>COUNTIFS(RawData!$D:$D,$A6,RawData!$E:$E,G$3)</f>
        <v>0</v>
      </c>
    </row>
    <row r="7" spans="1:15" x14ac:dyDescent="0.3">
      <c r="A7" s="8" t="s">
        <v>22</v>
      </c>
      <c r="B7" s="8">
        <f>COUNTIFS(RawData!$D:$D,$A7,RawData!$E:$E,B$3)</f>
        <v>3</v>
      </c>
      <c r="C7" s="8">
        <f>COUNTIFS(RawData!$D:$D,$A7,RawData!$E:$E,C$3)</f>
        <v>1</v>
      </c>
      <c r="D7" s="8">
        <f>COUNTIFS(RawData!$D:$D,$A7,RawData!$E:$E,D$3)</f>
        <v>0</v>
      </c>
      <c r="E7" s="8">
        <f>COUNTIFS(RawData!$D:$D,$A7,RawData!$E:$E,E$3)</f>
        <v>0</v>
      </c>
      <c r="F7" s="8">
        <f>COUNTIFS(RawData!$D:$D,$A7,RawData!$E:$E,F$3)</f>
        <v>0</v>
      </c>
      <c r="G7" s="8">
        <f>COUNTIFS(RawData!$D:$D,$A7,RawData!$E:$E,G$3)</f>
        <v>0</v>
      </c>
    </row>
    <row r="8" spans="1:15" x14ac:dyDescent="0.3">
      <c r="A8" s="8" t="s">
        <v>23</v>
      </c>
      <c r="B8" s="8">
        <f>COUNTIFS(RawData!$D:$D,$A8,RawData!$E:$E,B$3)</f>
        <v>3</v>
      </c>
      <c r="C8" s="8">
        <f>COUNTIFS(RawData!$D:$D,$A8,RawData!$E:$E,C$3)</f>
        <v>1</v>
      </c>
      <c r="D8" s="8">
        <f>COUNTIFS(RawData!$D:$D,$A8,RawData!$E:$E,D$3)</f>
        <v>0</v>
      </c>
      <c r="E8" s="8">
        <f>COUNTIFS(RawData!$D:$D,$A8,RawData!$E:$E,E$3)</f>
        <v>0</v>
      </c>
      <c r="F8" s="8">
        <f>COUNTIFS(RawData!$D:$D,$A8,RawData!$E:$E,F$3)</f>
        <v>0</v>
      </c>
      <c r="G8" s="8">
        <f>COUNTIFS(RawData!$D:$D,$A8,RawData!$E:$E,G$3)</f>
        <v>0</v>
      </c>
    </row>
    <row r="9" spans="1:15" x14ac:dyDescent="0.3">
      <c r="A9" s="5"/>
      <c r="B9" s="5"/>
      <c r="C9" s="5"/>
      <c r="D9" s="5"/>
      <c r="E9" s="5"/>
      <c r="F9" s="5"/>
      <c r="G9" s="5"/>
    </row>
    <row r="10" spans="1:15" x14ac:dyDescent="0.3">
      <c r="A10" s="5"/>
      <c r="B10" s="5"/>
      <c r="C10" s="5"/>
      <c r="D10" s="5"/>
      <c r="E10" s="5"/>
      <c r="F10" s="5"/>
      <c r="G10" s="5"/>
    </row>
    <row r="11" spans="1:15" x14ac:dyDescent="0.3">
      <c r="A11" s="7" t="s">
        <v>25</v>
      </c>
      <c r="B11" s="7">
        <v>0</v>
      </c>
      <c r="C11" s="7">
        <v>1</v>
      </c>
      <c r="D11" s="7">
        <v>2</v>
      </c>
      <c r="E11" s="7">
        <v>3</v>
      </c>
      <c r="F11" s="7">
        <v>4</v>
      </c>
      <c r="G11" s="7">
        <v>5</v>
      </c>
      <c r="H11" s="4"/>
    </row>
    <row r="12" spans="1:15" x14ac:dyDescent="0.3">
      <c r="A12" s="8" t="s">
        <v>19</v>
      </c>
      <c r="B12" s="9">
        <f>B4/$B4</f>
        <v>1</v>
      </c>
      <c r="C12" s="9">
        <f t="shared" ref="C12:G12" si="0">C4/$B4</f>
        <v>0.5</v>
      </c>
      <c r="D12" s="9">
        <f t="shared" si="0"/>
        <v>0.5</v>
      </c>
      <c r="E12" s="9">
        <f t="shared" si="0"/>
        <v>0.5</v>
      </c>
      <c r="F12" s="9">
        <f t="shared" si="0"/>
        <v>0</v>
      </c>
      <c r="G12" s="9">
        <f t="shared" si="0"/>
        <v>0</v>
      </c>
    </row>
    <row r="13" spans="1:15" x14ac:dyDescent="0.3">
      <c r="A13" s="8" t="s">
        <v>20</v>
      </c>
      <c r="B13" s="9">
        <f t="shared" ref="B13:G13" si="1">B5/$B5</f>
        <v>1</v>
      </c>
      <c r="C13" s="9">
        <f t="shared" si="1"/>
        <v>0.33333333333333331</v>
      </c>
      <c r="D13" s="9">
        <f t="shared" si="1"/>
        <v>0.33333333333333331</v>
      </c>
      <c r="E13" s="9">
        <f t="shared" si="1"/>
        <v>0.33333333333333331</v>
      </c>
      <c r="F13" s="9">
        <f t="shared" si="1"/>
        <v>0</v>
      </c>
      <c r="G13" s="9">
        <f t="shared" si="1"/>
        <v>0</v>
      </c>
    </row>
    <row r="14" spans="1:15" x14ac:dyDescent="0.3">
      <c r="A14" s="8" t="s">
        <v>21</v>
      </c>
      <c r="B14" s="9">
        <f t="shared" ref="B14:G14" si="2">B6/$B6</f>
        <v>1</v>
      </c>
      <c r="C14" s="9">
        <f t="shared" si="2"/>
        <v>0.33333333333333331</v>
      </c>
      <c r="D14" s="9">
        <f t="shared" si="2"/>
        <v>0.33333333333333331</v>
      </c>
      <c r="E14" s="9">
        <f t="shared" si="2"/>
        <v>0</v>
      </c>
      <c r="F14" s="9">
        <f t="shared" si="2"/>
        <v>0</v>
      </c>
      <c r="G14" s="9">
        <f t="shared" si="2"/>
        <v>0</v>
      </c>
    </row>
    <row r="15" spans="1:15" x14ac:dyDescent="0.3">
      <c r="A15" s="8" t="s">
        <v>22</v>
      </c>
      <c r="B15" s="9">
        <f t="shared" ref="B15:G15" si="3">B7/$B7</f>
        <v>1</v>
      </c>
      <c r="C15" s="9">
        <f t="shared" si="3"/>
        <v>0.33333333333333331</v>
      </c>
      <c r="D15" s="9">
        <f t="shared" si="3"/>
        <v>0</v>
      </c>
      <c r="E15" s="9">
        <f t="shared" si="3"/>
        <v>0</v>
      </c>
      <c r="F15" s="9">
        <f t="shared" si="3"/>
        <v>0</v>
      </c>
      <c r="G15" s="9">
        <f t="shared" si="3"/>
        <v>0</v>
      </c>
    </row>
    <row r="16" spans="1:15" x14ac:dyDescent="0.3">
      <c r="A16" s="8" t="s">
        <v>23</v>
      </c>
      <c r="B16" s="9">
        <f t="shared" ref="B16:G16" si="4">B8/$B8</f>
        <v>1</v>
      </c>
      <c r="C16" s="9">
        <f t="shared" si="4"/>
        <v>0.33333333333333331</v>
      </c>
      <c r="D16" s="9">
        <f t="shared" si="4"/>
        <v>0</v>
      </c>
      <c r="E16" s="9">
        <f t="shared" si="4"/>
        <v>0</v>
      </c>
      <c r="F16" s="9">
        <f t="shared" si="4"/>
        <v>0</v>
      </c>
      <c r="G16" s="9">
        <f t="shared" si="4"/>
        <v>0</v>
      </c>
    </row>
  </sheetData>
  <phoneticPr fontId="2" type="noConversion"/>
  <conditionalFormatting sqref="B12:G1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CohortTable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tisha kushwah</dc:creator>
  <cp:lastModifiedBy>tisha kushwah</cp:lastModifiedBy>
  <dcterms:created xsi:type="dcterms:W3CDTF">2026-05-27T16:48:34Z</dcterms:created>
  <dcterms:modified xsi:type="dcterms:W3CDTF">2026-05-28T11:53:39Z</dcterms:modified>
</cp:coreProperties>
</file>